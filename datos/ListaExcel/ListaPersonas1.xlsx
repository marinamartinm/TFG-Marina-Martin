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mmm1059_alu_ubu_es/Documents/Escritorio/TFG-Marina-Martin/datos/ListaExcel/"/>
    </mc:Choice>
  </mc:AlternateContent>
  <xr:revisionPtr revIDLastSave="196" documentId="8_{1358C022-85BE-4B7F-BF4E-FCC1DD1B9E1E}" xr6:coauthVersionLast="47" xr6:coauthVersionMax="47" xr10:uidLastSave="{2761EEFA-EDC9-4F4C-872B-3C2C496CD890}"/>
  <bookViews>
    <workbookView xWindow="-108" yWindow="-108" windowWidth="23256" windowHeight="12456" xr2:uid="{B0B6A5FC-CE1B-471C-8D49-49C1E4593AB9}"/>
  </bookViews>
  <sheets>
    <sheet name="Hoja1" sheetId="2" r:id="rId1"/>
    <sheet name="HojaN" sheetId="1" r:id="rId2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32" i="2"/>
  <c r="F33" i="2"/>
  <c r="F34" i="2"/>
  <c r="F35" i="2"/>
  <c r="F30" i="2"/>
  <c r="F20" i="2"/>
  <c r="F21" i="2"/>
  <c r="F22" i="2"/>
  <c r="F23" i="2"/>
  <c r="F24" i="2"/>
  <c r="F25" i="2"/>
  <c r="F26" i="2"/>
  <c r="F27" i="2"/>
  <c r="F28" i="2"/>
  <c r="F29" i="2"/>
  <c r="F19" i="2"/>
  <c r="F18" i="2"/>
  <c r="F17" i="2"/>
  <c r="F16" i="2"/>
  <c r="F15" i="2"/>
  <c r="F14" i="2"/>
  <c r="F12" i="2"/>
  <c r="F13" i="2"/>
  <c r="F11" i="2"/>
  <c r="F10" i="2"/>
  <c r="F9" i="2"/>
  <c r="F3" i="2"/>
  <c r="F4" i="2"/>
  <c r="F5" i="2"/>
  <c r="F6" i="2"/>
  <c r="F7" i="2"/>
  <c r="F8" i="2"/>
  <c r="F2" i="2"/>
  <c r="F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<sst xmlns="http://schemas.openxmlformats.org/spreadsheetml/2006/main" count="131" uniqueCount="72">
  <si>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</si>
  <si>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</si>
  <si>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</si>
  <si>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</si>
  <si>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</si>
  <si>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</si>
  <si>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</si>
  <si>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</si>
  <si>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NOMBRE</t>
  </si>
  <si>
    <t>Marina</t>
  </si>
  <si>
    <t>Alvaro</t>
  </si>
  <si>
    <t>Carmen</t>
  </si>
  <si>
    <t>PaulaChh</t>
  </si>
  <si>
    <t>Paula</t>
  </si>
  <si>
    <t>Elena</t>
  </si>
  <si>
    <t>Javier</t>
  </si>
  <si>
    <t>Rocio</t>
  </si>
  <si>
    <t>Alba</t>
  </si>
  <si>
    <t>Elena Uni</t>
  </si>
  <si>
    <t>Marina Uni</t>
  </si>
  <si>
    <t>SI</t>
  </si>
  <si>
    <t>DÍA 1</t>
  </si>
  <si>
    <t>Lola Abu</t>
  </si>
  <si>
    <t>Silvia</t>
  </si>
  <si>
    <t>Juan</t>
  </si>
  <si>
    <t>Paula Marcos</t>
  </si>
  <si>
    <t xml:space="preserve">Pablo </t>
  </si>
  <si>
    <t>Esther</t>
  </si>
  <si>
    <t>Ruth</t>
  </si>
  <si>
    <t>Isma</t>
  </si>
  <si>
    <t>Sujeto</t>
  </si>
  <si>
    <t>Edad (años)</t>
  </si>
  <si>
    <t>Peso (kg)</t>
  </si>
  <si>
    <t>Sexo</t>
  </si>
  <si>
    <t>Femenino</t>
  </si>
  <si>
    <t>Masculino</t>
  </si>
  <si>
    <t xml:space="preserve">Mal </t>
  </si>
  <si>
    <t>Regular</t>
  </si>
  <si>
    <t>Bien pero poco</t>
  </si>
  <si>
    <t>Gabina</t>
  </si>
  <si>
    <t>Tania</t>
  </si>
  <si>
    <t>Santiago</t>
  </si>
  <si>
    <t>IMC</t>
  </si>
  <si>
    <t>Altura (m)</t>
  </si>
  <si>
    <t>Jaime</t>
  </si>
  <si>
    <t xml:space="preserve"> Qué tal ha dormido</t>
  </si>
  <si>
    <t>Fecha prueba 1</t>
  </si>
  <si>
    <t>Fecha prueba 2</t>
  </si>
  <si>
    <t>Muy bien</t>
  </si>
  <si>
    <t xml:space="preserve">Bien </t>
  </si>
  <si>
    <t>Bien</t>
  </si>
  <si>
    <t>Ana</t>
  </si>
  <si>
    <t>Julio</t>
  </si>
  <si>
    <t>Rebeca</t>
  </si>
  <si>
    <t>Pablo</t>
  </si>
  <si>
    <t>PaulaMunoa</t>
  </si>
  <si>
    <t>Felix</t>
  </si>
  <si>
    <t>Dolores</t>
  </si>
  <si>
    <t>Lucia</t>
  </si>
  <si>
    <t xml:space="preserve">Maria </t>
  </si>
  <si>
    <t>Angel</t>
  </si>
  <si>
    <t>Marimar</t>
  </si>
  <si>
    <t>Roberto</t>
  </si>
  <si>
    <t>Azucena</t>
  </si>
  <si>
    <t>ElenaR</t>
  </si>
  <si>
    <t>Ismael</t>
  </si>
  <si>
    <t>Javito</t>
  </si>
  <si>
    <t>Marijose</t>
  </si>
  <si>
    <t>Cristina</t>
  </si>
  <si>
    <t>Niceto</t>
  </si>
  <si>
    <t>Aner</t>
  </si>
  <si>
    <t>Mikel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</si>
</sst>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A73CD2-2449-4786-B9A1-26D9A4DA6A29}" name="Tabla2" displayName="Tabla2" ref="B3:K33" totalsRowShown="0" headerRowDxfId="12" dataDxfId="11" tableBorderDxfId="10">
  <autoFilter ref="B3:K33" xr:uid="{6EA73CD2-2449-4786-B9A1-26D9A4DA6A29}"/>
  <tableColumns count="10">
    <tableColumn id="1" xr3:uid="{25E7EE22-539E-4333-B1E2-0A2114045A01}" name="NOMBRE" dataDxfId="9"/>
    <tableColumn id="2" xr3:uid="{D797F7D1-0A90-4312-8E5D-9ED550CBFC66}" name="DÍA 1" dataDxfId="8"/>
    <tableColumn id="3" xr3:uid="{12169D54-6ACB-4ABE-893E-C69B60D7DE26}" name="Columna3" dataDxfId="7"/>
    <tableColumn id="4" xr3:uid="{724F7040-40C5-4E1A-885C-F6F402CDF9E9}" name="Columna4" dataDxfId="6"/>
    <tableColumn id="5" xr3:uid="{8D2B7864-793F-40EE-9895-F5C52D07619A}" name="Columna5" dataDxfId="5"/>
    <tableColumn id="6" xr3:uid="{16675D5C-EE3A-463B-9168-6A7D56634DC5}" name="Columna6" dataDxfId="4"/>
    <tableColumn id="7" xr3:uid="{EF48A1D0-F7DB-4614-9B6B-F9A1F3609248}" name="Columna7" dataDxfId="3"/>
    <tableColumn id="8" xr3:uid="{6C7C43AE-7A9C-4A47-9385-87F7A89CF580}" name="Columna8" dataDxfId="2"/>
    <tableColumn id="9" xr3:uid="{9124FA69-9FA0-4CBA-95F3-65182AA780C8}" name="Columna9" dataDxfId="1"/>
    <tableColumn id="10" xr3:uid="{3182F545-3E80-4849-83D2-BD79D7EB960C}" name="Columna10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97E4-5694-4C6C-9A99-36A159F56D33}">
  <dimension ref="A1:K35"/>
  <sheetViews>
    <sheetView tabSelected="1" workbookViewId="0">
      <selection activeCell="F37" sqref="F37"/>
    </sheetView>
  </sheetViews>
  <sheetFormatPr baseColWidth="10" defaultRowHeight="14.4" x14ac:dyDescent="0.3"/>
  <cols>
    <col min="2" max="2" width="12.6640625" bestFit="1" customWidth="1"/>
    <col min="7" max="7" width="11.109375" customWidth="1"/>
    <col min="8" max="8" width="13.5546875" bestFit="1" customWidth="1"/>
    <col min="9" max="9" width="16.77734375" bestFit="1" customWidth="1"/>
    <col min="10" max="10" width="13.5546875" bestFit="1" customWidth="1"/>
    <col min="11" max="11" width="16.77734375" bestFit="1" customWidth="1"/>
  </cols>
  <sheetData>
    <row r="1" spans="1:11" x14ac:dyDescent="0.3">
      <c r="B1" s="2" t="s">
        <v>30</v>
      </c>
      <c r="C1" s="2" t="s">
        <v>31</v>
      </c>
      <c r="D1" s="2" t="s">
        <v>32</v>
      </c>
      <c r="E1" s="2" t="s">
        <v>43</v>
      </c>
      <c r="F1" s="2" t="s">
        <v>42</v>
      </c>
      <c r="G1" s="2" t="s">
        <v>33</v>
      </c>
      <c r="H1" s="2" t="s">
        <v>46</v>
      </c>
      <c r="I1" s="2" t="s">
        <v>45</v>
      </c>
      <c r="J1" s="2" t="s">
        <v>47</v>
      </c>
      <c r="K1" s="2"/>
    </row>
    <row r="2" spans="1:11" x14ac:dyDescent="0.3">
      <c r="A2">
        <v>1</v>
      </c>
      <c r="B2" s="2" t="s">
        <v>9</v>
      </c>
      <c r="C2">
        <v>22</v>
      </c>
      <c r="D2">
        <v>63</v>
      </c>
      <c r="E2">
        <v>1.7</v>
      </c>
      <c r="F2" s="3" cm="1">
        <f t="array" aca="1" ref="F2" ca="1">D2/+F2:F25(E2*E2)</f>
        <v>0</v>
      </c>
      <c r="G2" t="s">
        <v>34</v>
      </c>
      <c r="H2" s="1">
        <v>45589</v>
      </c>
      <c r="I2" t="s">
        <v>36</v>
      </c>
    </row>
    <row r="3" spans="1:11" x14ac:dyDescent="0.3">
      <c r="A3">
        <v>2</v>
      </c>
      <c r="B3" s="2" t="s">
        <v>10</v>
      </c>
      <c r="C3">
        <v>20</v>
      </c>
      <c r="D3">
        <v>78</v>
      </c>
      <c r="E3">
        <v>1.75</v>
      </c>
      <c r="F3" s="3">
        <f t="shared" ref="F3:F14" si="0">D3/(E3*E3)</f>
        <v>25.469387755102041</v>
      </c>
      <c r="G3" t="s">
        <v>35</v>
      </c>
      <c r="H3" s="1">
        <v>45608</v>
      </c>
      <c r="I3" t="s">
        <v>37</v>
      </c>
    </row>
    <row r="4" spans="1:11" x14ac:dyDescent="0.3">
      <c r="A4">
        <v>3</v>
      </c>
      <c r="B4" s="2" t="s">
        <v>55</v>
      </c>
      <c r="C4">
        <v>20</v>
      </c>
      <c r="D4">
        <v>53</v>
      </c>
      <c r="E4">
        <v>1.63</v>
      </c>
      <c r="F4" s="3">
        <f t="shared" si="0"/>
        <v>19.948059768903612</v>
      </c>
      <c r="G4" t="s">
        <v>34</v>
      </c>
      <c r="H4" s="1">
        <v>45609</v>
      </c>
      <c r="I4" t="s">
        <v>36</v>
      </c>
    </row>
    <row r="5" spans="1:11" x14ac:dyDescent="0.3">
      <c r="A5">
        <v>4</v>
      </c>
      <c r="B5" s="2" t="s">
        <v>11</v>
      </c>
      <c r="C5">
        <v>21</v>
      </c>
      <c r="D5">
        <v>66</v>
      </c>
      <c r="E5">
        <v>1.63</v>
      </c>
      <c r="F5" s="3">
        <f t="shared" si="0"/>
        <v>24.840980089578082</v>
      </c>
      <c r="G5" t="s">
        <v>34</v>
      </c>
      <c r="H5" s="1">
        <v>45610</v>
      </c>
      <c r="I5" t="s">
        <v>50</v>
      </c>
    </row>
    <row r="6" spans="1:11" x14ac:dyDescent="0.3">
      <c r="A6">
        <v>5</v>
      </c>
      <c r="B6" s="2" t="s">
        <v>13</v>
      </c>
      <c r="C6">
        <v>21</v>
      </c>
      <c r="D6">
        <v>56</v>
      </c>
      <c r="E6">
        <v>1.74</v>
      </c>
      <c r="F6" s="3">
        <f t="shared" si="0"/>
        <v>18.496498876998281</v>
      </c>
      <c r="G6" t="s">
        <v>34</v>
      </c>
      <c r="H6" s="1">
        <v>45613</v>
      </c>
      <c r="I6" t="s">
        <v>38</v>
      </c>
      <c r="J6" s="1">
        <v>45616</v>
      </c>
    </row>
    <row r="7" spans="1:11" x14ac:dyDescent="0.3">
      <c r="A7">
        <v>6</v>
      </c>
      <c r="B7" s="2" t="s">
        <v>41</v>
      </c>
      <c r="C7">
        <v>26</v>
      </c>
      <c r="D7">
        <v>80</v>
      </c>
      <c r="E7">
        <v>1.75</v>
      </c>
      <c r="F7" s="3">
        <f t="shared" si="0"/>
        <v>26.122448979591837</v>
      </c>
      <c r="G7" t="s">
        <v>35</v>
      </c>
      <c r="H7" s="1">
        <v>45614</v>
      </c>
      <c r="I7" t="s">
        <v>49</v>
      </c>
    </row>
    <row r="8" spans="1:11" x14ac:dyDescent="0.3">
      <c r="A8">
        <v>7</v>
      </c>
      <c r="B8" s="2" t="s">
        <v>14</v>
      </c>
      <c r="C8">
        <v>22</v>
      </c>
      <c r="D8">
        <v>53</v>
      </c>
      <c r="E8">
        <v>1.6</v>
      </c>
      <c r="F8" s="3">
        <f t="shared" si="0"/>
        <v>20.703124999999996</v>
      </c>
      <c r="G8" t="s">
        <v>34</v>
      </c>
      <c r="H8" s="1">
        <v>45615</v>
      </c>
      <c r="I8" t="s">
        <v>48</v>
      </c>
    </row>
    <row r="9" spans="1:11" x14ac:dyDescent="0.3">
      <c r="A9">
        <v>8</v>
      </c>
      <c r="B9" s="2" t="s">
        <v>44</v>
      </c>
      <c r="C9">
        <v>20</v>
      </c>
      <c r="D9">
        <v>115</v>
      </c>
      <c r="E9">
        <v>1.78</v>
      </c>
      <c r="F9" s="3">
        <f t="shared" si="0"/>
        <v>36.295922232041406</v>
      </c>
      <c r="G9" t="s">
        <v>35</v>
      </c>
      <c r="H9" s="1">
        <v>45617</v>
      </c>
      <c r="I9" t="s">
        <v>50</v>
      </c>
    </row>
    <row r="10" spans="1:11" x14ac:dyDescent="0.3">
      <c r="A10">
        <v>9</v>
      </c>
      <c r="B10" s="2" t="s">
        <v>15</v>
      </c>
      <c r="C10">
        <v>51</v>
      </c>
      <c r="D10">
        <v>73</v>
      </c>
      <c r="E10">
        <v>1.74</v>
      </c>
      <c r="F10" s="3">
        <f t="shared" si="0"/>
        <v>24.111507464658473</v>
      </c>
      <c r="G10" t="s">
        <v>35</v>
      </c>
      <c r="H10" s="1">
        <v>45629</v>
      </c>
      <c r="I10" t="s">
        <v>49</v>
      </c>
    </row>
    <row r="11" spans="1:11" x14ac:dyDescent="0.3">
      <c r="A11">
        <v>10</v>
      </c>
      <c r="B11" s="2" t="s">
        <v>51</v>
      </c>
      <c r="C11">
        <v>46</v>
      </c>
      <c r="D11">
        <v>57</v>
      </c>
      <c r="E11">
        <v>1.73</v>
      </c>
      <c r="F11" s="3">
        <f t="shared" si="0"/>
        <v>19.045073340238563</v>
      </c>
      <c r="G11" t="s">
        <v>34</v>
      </c>
      <c r="H11" s="1">
        <v>45620</v>
      </c>
      <c r="I11" t="s">
        <v>50</v>
      </c>
    </row>
    <row r="12" spans="1:11" x14ac:dyDescent="0.3">
      <c r="A12">
        <v>11</v>
      </c>
      <c r="B12" s="2" t="s">
        <v>52</v>
      </c>
      <c r="C12">
        <v>53</v>
      </c>
      <c r="D12">
        <v>93</v>
      </c>
      <c r="E12">
        <v>1.83</v>
      </c>
      <c r="F12" s="3">
        <f>D12/(E12*E12)</f>
        <v>27.77031263997133</v>
      </c>
      <c r="G12" t="s">
        <v>35</v>
      </c>
      <c r="H12" s="1">
        <v>45624</v>
      </c>
      <c r="I12" t="s">
        <v>50</v>
      </c>
    </row>
    <row r="13" spans="1:11" x14ac:dyDescent="0.3">
      <c r="A13">
        <v>12</v>
      </c>
      <c r="B13" s="2" t="s">
        <v>23</v>
      </c>
      <c r="C13">
        <v>51</v>
      </c>
      <c r="D13">
        <v>53</v>
      </c>
      <c r="E13">
        <v>1.58</v>
      </c>
      <c r="F13" s="3">
        <f t="shared" si="0"/>
        <v>21.230572023714146</v>
      </c>
      <c r="G13" t="s">
        <v>34</v>
      </c>
      <c r="H13" s="1">
        <v>45625</v>
      </c>
      <c r="I13" t="s">
        <v>50</v>
      </c>
    </row>
    <row r="14" spans="1:11" x14ac:dyDescent="0.3">
      <c r="A14">
        <v>13</v>
      </c>
      <c r="B14" s="2" t="s">
        <v>56</v>
      </c>
      <c r="C14">
        <v>46</v>
      </c>
      <c r="D14">
        <v>75</v>
      </c>
      <c r="E14">
        <v>1.73</v>
      </c>
      <c r="F14" s="3">
        <f t="shared" si="0"/>
        <v>25.059307026629689</v>
      </c>
      <c r="G14" t="s">
        <v>35</v>
      </c>
      <c r="H14" s="1">
        <v>45627</v>
      </c>
      <c r="I14" t="s">
        <v>50</v>
      </c>
    </row>
    <row r="15" spans="1:11" x14ac:dyDescent="0.3">
      <c r="A15">
        <v>14</v>
      </c>
      <c r="B15" s="2" t="s">
        <v>53</v>
      </c>
      <c r="C15">
        <v>47</v>
      </c>
      <c r="D15">
        <v>54</v>
      </c>
      <c r="E15">
        <v>1.63</v>
      </c>
      <c r="F15" s="3">
        <f>D15/(E15*E15)</f>
        <v>20.324438255109339</v>
      </c>
      <c r="G15" t="s">
        <v>34</v>
      </c>
      <c r="H15" s="1">
        <v>45628</v>
      </c>
      <c r="I15" t="s">
        <v>50</v>
      </c>
    </row>
    <row r="16" spans="1:11" x14ac:dyDescent="0.3">
      <c r="A16">
        <v>15</v>
      </c>
      <c r="B16" s="2" t="s">
        <v>54</v>
      </c>
      <c r="C16">
        <v>40</v>
      </c>
      <c r="D16">
        <v>69</v>
      </c>
      <c r="E16">
        <v>1.83</v>
      </c>
      <c r="F16" s="3">
        <f>D16/(E16*E16)</f>
        <v>20.603780345785182</v>
      </c>
      <c r="G16" t="s">
        <v>35</v>
      </c>
      <c r="H16" s="1">
        <v>45633</v>
      </c>
      <c r="I16" t="s">
        <v>50</v>
      </c>
    </row>
    <row r="17" spans="1:9" x14ac:dyDescent="0.3">
      <c r="A17">
        <v>16</v>
      </c>
      <c r="B17" s="2" t="s">
        <v>27</v>
      </c>
      <c r="C17">
        <v>38</v>
      </c>
      <c r="D17">
        <v>72</v>
      </c>
      <c r="E17">
        <v>1.73</v>
      </c>
      <c r="F17" s="3">
        <f>D17/(E17*E17)</f>
        <v>24.056934745564501</v>
      </c>
      <c r="G17" t="s">
        <v>34</v>
      </c>
      <c r="H17" s="1">
        <v>45634</v>
      </c>
      <c r="I17" t="s">
        <v>50</v>
      </c>
    </row>
    <row r="18" spans="1:9" x14ac:dyDescent="0.3">
      <c r="A18">
        <v>17</v>
      </c>
      <c r="B18" s="2" t="s">
        <v>16</v>
      </c>
      <c r="C18">
        <v>49</v>
      </c>
      <c r="D18">
        <v>80</v>
      </c>
      <c r="E18">
        <v>1.69</v>
      </c>
      <c r="F18" s="3">
        <f>D18/(E18*E18)</f>
        <v>28.010223731662059</v>
      </c>
      <c r="G18" t="s">
        <v>34</v>
      </c>
      <c r="H18" s="1">
        <v>45635</v>
      </c>
      <c r="I18" t="s">
        <v>50</v>
      </c>
    </row>
    <row r="19" spans="1:9" x14ac:dyDescent="0.3">
      <c r="A19">
        <v>18</v>
      </c>
      <c r="B19" s="2" t="s">
        <v>57</v>
      </c>
      <c r="C19">
        <v>75</v>
      </c>
      <c r="D19">
        <v>79</v>
      </c>
      <c r="E19">
        <v>1.65</v>
      </c>
      <c r="F19" s="3">
        <f>D19/(E19*E19)</f>
        <v>29.017447199265384</v>
      </c>
      <c r="G19" t="s">
        <v>34</v>
      </c>
    </row>
    <row r="20" spans="1:9" x14ac:dyDescent="0.3">
      <c r="A20">
        <v>19</v>
      </c>
      <c r="B20" s="2" t="s">
        <v>58</v>
      </c>
      <c r="C20">
        <v>21</v>
      </c>
      <c r="D20">
        <v>57</v>
      </c>
      <c r="E20">
        <v>1.58</v>
      </c>
      <c r="F20" s="3">
        <f t="shared" ref="F20:F35" si="1">D20/(E20*E20)</f>
        <v>22.832879346258608</v>
      </c>
      <c r="G20" t="s">
        <v>34</v>
      </c>
    </row>
    <row r="21" spans="1:9" x14ac:dyDescent="0.3">
      <c r="A21">
        <v>20</v>
      </c>
      <c r="B21" s="2" t="s">
        <v>59</v>
      </c>
      <c r="C21">
        <v>35</v>
      </c>
      <c r="D21">
        <v>51</v>
      </c>
      <c r="E21">
        <v>1.65</v>
      </c>
      <c r="F21" s="3">
        <f t="shared" si="1"/>
        <v>18.732782369146008</v>
      </c>
      <c r="G21" t="s">
        <v>34</v>
      </c>
    </row>
    <row r="22" spans="1:9" x14ac:dyDescent="0.3">
      <c r="A22">
        <v>21</v>
      </c>
      <c r="B22" s="2" t="s">
        <v>40</v>
      </c>
      <c r="C22">
        <v>31</v>
      </c>
      <c r="D22">
        <v>70</v>
      </c>
      <c r="E22">
        <v>1.67</v>
      </c>
      <c r="F22" s="3">
        <f t="shared" si="1"/>
        <v>25.099501595611173</v>
      </c>
      <c r="G22" t="s">
        <v>34</v>
      </c>
    </row>
    <row r="23" spans="1:9" x14ac:dyDescent="0.3">
      <c r="A23">
        <v>22</v>
      </c>
      <c r="B23" s="2" t="s">
        <v>60</v>
      </c>
      <c r="C23">
        <v>54</v>
      </c>
      <c r="D23">
        <v>75</v>
      </c>
      <c r="E23">
        <v>1.72</v>
      </c>
      <c r="F23" s="3">
        <f t="shared" si="1"/>
        <v>25.351541373715524</v>
      </c>
      <c r="G23" t="s">
        <v>35</v>
      </c>
    </row>
    <row r="24" spans="1:9" x14ac:dyDescent="0.3">
      <c r="A24">
        <v>23</v>
      </c>
      <c r="B24" s="2" t="s">
        <v>61</v>
      </c>
      <c r="C24">
        <v>54</v>
      </c>
      <c r="D24">
        <v>63</v>
      </c>
      <c r="E24">
        <v>1.75</v>
      </c>
      <c r="F24" s="3">
        <f t="shared" si="1"/>
        <v>20.571428571428573</v>
      </c>
      <c r="G24" t="s">
        <v>34</v>
      </c>
    </row>
    <row r="25" spans="1:9" x14ac:dyDescent="0.3">
      <c r="A25">
        <v>24</v>
      </c>
      <c r="B25" s="2" t="s">
        <v>62</v>
      </c>
      <c r="C25">
        <v>51</v>
      </c>
      <c r="D25">
        <v>72</v>
      </c>
      <c r="E25">
        <v>1.72</v>
      </c>
      <c r="F25" s="3">
        <f t="shared" si="1"/>
        <v>24.337479718766904</v>
      </c>
      <c r="G25" t="s">
        <v>35</v>
      </c>
    </row>
    <row r="26" spans="1:9" x14ac:dyDescent="0.3">
      <c r="A26">
        <v>25</v>
      </c>
      <c r="B26" s="2" t="s">
        <v>63</v>
      </c>
      <c r="C26">
        <v>52</v>
      </c>
      <c r="D26">
        <v>62</v>
      </c>
      <c r="E26">
        <v>1.62</v>
      </c>
      <c r="F26" s="3">
        <f t="shared" si="1"/>
        <v>23.624447492760247</v>
      </c>
      <c r="G26" t="s">
        <v>34</v>
      </c>
    </row>
    <row r="27" spans="1:9" x14ac:dyDescent="0.3">
      <c r="A27">
        <v>26</v>
      </c>
      <c r="B27" s="2" t="s">
        <v>64</v>
      </c>
      <c r="C27">
        <v>22</v>
      </c>
      <c r="D27">
        <v>52</v>
      </c>
      <c r="E27">
        <v>1.64</v>
      </c>
      <c r="F27" s="3">
        <f t="shared" si="1"/>
        <v>19.333729922665082</v>
      </c>
      <c r="G27" t="s">
        <v>34</v>
      </c>
    </row>
    <row r="28" spans="1:9" x14ac:dyDescent="0.3">
      <c r="A28">
        <v>27</v>
      </c>
      <c r="B28" s="2" t="s">
        <v>28</v>
      </c>
      <c r="C28">
        <v>49</v>
      </c>
      <c r="D28">
        <v>52</v>
      </c>
      <c r="E28">
        <v>1.58</v>
      </c>
      <c r="F28" s="3">
        <f t="shared" si="1"/>
        <v>20.82999519307803</v>
      </c>
      <c r="G28" t="s">
        <v>34</v>
      </c>
    </row>
    <row r="29" spans="1:9" x14ac:dyDescent="0.3">
      <c r="A29">
        <v>28</v>
      </c>
      <c r="B29" s="2" t="s">
        <v>65</v>
      </c>
      <c r="C29">
        <v>49</v>
      </c>
      <c r="D29">
        <v>67</v>
      </c>
      <c r="E29">
        <v>1.77</v>
      </c>
      <c r="F29" s="3">
        <f t="shared" si="1"/>
        <v>21.385936352899868</v>
      </c>
      <c r="G29" t="s">
        <v>35</v>
      </c>
    </row>
    <row r="30" spans="1:9" x14ac:dyDescent="0.3">
      <c r="A30">
        <v>29</v>
      </c>
      <c r="B30" s="2" t="s">
        <v>66</v>
      </c>
      <c r="C30">
        <v>44</v>
      </c>
      <c r="D30">
        <v>74</v>
      </c>
      <c r="E30">
        <v>1.72</v>
      </c>
      <c r="F30" s="3">
        <f t="shared" si="1"/>
        <v>25.013520822065985</v>
      </c>
      <c r="G30" t="s">
        <v>35</v>
      </c>
    </row>
    <row r="31" spans="1:9" x14ac:dyDescent="0.3">
      <c r="A31">
        <v>30</v>
      </c>
      <c r="B31" s="2" t="s">
        <v>67</v>
      </c>
      <c r="C31">
        <v>53</v>
      </c>
      <c r="D31">
        <v>89</v>
      </c>
      <c r="E31">
        <v>1.5</v>
      </c>
      <c r="F31" s="3">
        <f>D31/(E31*E31)</f>
        <v>39.555555555555557</v>
      </c>
      <c r="G31" t="s">
        <v>34</v>
      </c>
    </row>
    <row r="32" spans="1:9" x14ac:dyDescent="0.3">
      <c r="A32">
        <v>31</v>
      </c>
      <c r="B32" s="2" t="s">
        <v>68</v>
      </c>
      <c r="C32">
        <v>53</v>
      </c>
      <c r="D32">
        <v>96</v>
      </c>
      <c r="E32">
        <v>1.68</v>
      </c>
      <c r="F32" s="3">
        <f t="shared" si="1"/>
        <v>34.013605442176875</v>
      </c>
      <c r="G32" t="s">
        <v>34</v>
      </c>
    </row>
    <row r="33" spans="1:7" x14ac:dyDescent="0.3">
      <c r="A33">
        <v>32</v>
      </c>
      <c r="B33" s="2" t="s">
        <v>69</v>
      </c>
      <c r="C33">
        <v>56</v>
      </c>
      <c r="D33">
        <v>110</v>
      </c>
      <c r="E33">
        <v>1.85</v>
      </c>
      <c r="F33" s="3">
        <f t="shared" si="1"/>
        <v>32.140248356464568</v>
      </c>
      <c r="G33" t="s">
        <v>35</v>
      </c>
    </row>
    <row r="34" spans="1:7" x14ac:dyDescent="0.3">
      <c r="A34">
        <v>33</v>
      </c>
      <c r="B34" s="2" t="s">
        <v>70</v>
      </c>
      <c r="C34">
        <v>21</v>
      </c>
      <c r="D34">
        <v>102</v>
      </c>
      <c r="E34">
        <v>1.86</v>
      </c>
      <c r="F34" s="3">
        <f t="shared" si="1"/>
        <v>29.483177245924381</v>
      </c>
      <c r="G34" t="s">
        <v>35</v>
      </c>
    </row>
    <row r="35" spans="1:7" x14ac:dyDescent="0.3">
      <c r="A35">
        <v>34</v>
      </c>
      <c r="B35" s="2" t="s">
        <v>71</v>
      </c>
      <c r="C35">
        <v>21</v>
      </c>
      <c r="D35">
        <v>80</v>
      </c>
      <c r="E35">
        <v>1.74</v>
      </c>
      <c r="F35" s="3">
        <f t="shared" si="1"/>
        <v>26.423569824283259</v>
      </c>
      <c r="G3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CE65-45A0-45FF-84FE-9C8C064BABAA}">
  <dimension ref="B3:K25"/>
  <sheetViews>
    <sheetView topLeftCell="A2" zoomScale="85" zoomScaleNormal="85" workbookViewId="0">
      <selection activeCell="B4" sqref="B4"/>
    </sheetView>
  </sheetViews>
  <sheetFormatPr baseColWidth="10" defaultRowHeight="14.4" x14ac:dyDescent="0.3"/>
  <cols>
    <col min="11" max="11" width="12.33203125" customWidth="1"/>
  </cols>
  <sheetData>
    <row r="3" spans="2:11" x14ac:dyDescent="0.3">
      <c r="B3" t="s">
        <v>8</v>
      </c>
      <c r="C3" t="s">
        <v>21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</row>
    <row r="4" spans="2:11" x14ac:dyDescent="0.3">
      <c r="B4" t="s">
        <v>9</v>
      </c>
      <c r="C4" t="s">
        <v>20</v>
      </c>
    </row>
    <row r="5" spans="2:11" x14ac:dyDescent="0.3">
      <c r="B5" t="s">
        <v>10</v>
      </c>
      <c r="C5" t="s">
        <v>20</v>
      </c>
    </row>
    <row r="6" spans="2:11" x14ac:dyDescent="0.3">
      <c r="B6" t="s">
        <v>11</v>
      </c>
      <c r="C6" t="s">
        <v>20</v>
      </c>
    </row>
    <row r="7" spans="2:11" x14ac:dyDescent="0.3">
      <c r="B7" t="s">
        <v>12</v>
      </c>
      <c r="C7" t="s">
        <v>20</v>
      </c>
    </row>
    <row r="8" spans="2:11" x14ac:dyDescent="0.3">
      <c r="B8" t="s">
        <v>13</v>
      </c>
      <c r="C8" t="s">
        <v>20</v>
      </c>
    </row>
    <row r="9" spans="2:11" x14ac:dyDescent="0.3">
      <c r="B9" t="s">
        <v>14</v>
      </c>
    </row>
    <row r="10" spans="2:11" x14ac:dyDescent="0.3">
      <c r="B10" t="s">
        <v>15</v>
      </c>
    </row>
    <row r="11" spans="2:11" x14ac:dyDescent="0.3">
      <c r="B11" t="s">
        <v>16</v>
      </c>
    </row>
    <row r="12" spans="2:11" x14ac:dyDescent="0.3">
      <c r="B12" t="s">
        <v>22</v>
      </c>
    </row>
    <row r="13" spans="2:11" x14ac:dyDescent="0.3">
      <c r="B13" t="s">
        <v>17</v>
      </c>
    </row>
    <row r="14" spans="2:11" x14ac:dyDescent="0.3">
      <c r="B14" t="s">
        <v>18</v>
      </c>
    </row>
    <row r="15" spans="2:11" x14ac:dyDescent="0.3">
      <c r="B15" t="s">
        <v>19</v>
      </c>
    </row>
    <row r="16" spans="2:11" x14ac:dyDescent="0.3">
      <c r="B16" t="s">
        <v>23</v>
      </c>
    </row>
    <row r="17" spans="2:2" x14ac:dyDescent="0.3">
      <c r="B17" t="s">
        <v>24</v>
      </c>
    </row>
    <row r="18" spans="2:2" x14ac:dyDescent="0.3">
      <c r="B18" t="s">
        <v>25</v>
      </c>
    </row>
    <row r="19" spans="2:2" x14ac:dyDescent="0.3">
      <c r="B19" t="s">
        <v>26</v>
      </c>
    </row>
    <row r="20" spans="2:2" x14ac:dyDescent="0.3">
      <c r="B20" t="s">
        <v>27</v>
      </c>
    </row>
    <row r="21" spans="2:2" x14ac:dyDescent="0.3">
      <c r="B21" t="s">
        <v>28</v>
      </c>
    </row>
    <row r="22" spans="2:2" x14ac:dyDescent="0.3">
      <c r="B22" t="s">
        <v>29</v>
      </c>
    </row>
    <row r="23" spans="2:2" x14ac:dyDescent="0.3">
      <c r="B23" t="s">
        <v>39</v>
      </c>
    </row>
    <row r="24" spans="2:2" x14ac:dyDescent="0.3">
      <c r="B24" t="s">
        <v>40</v>
      </c>
    </row>
    <row r="25" spans="2:2" x14ac:dyDescent="0.3">
      <c r="B25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Martín Marijuán</dc:creator>
  <cp:lastModifiedBy>Marina Martín Marijuán</cp:lastModifiedBy>
  <dcterms:created xsi:type="dcterms:W3CDTF">2024-11-13T07:56:26Z</dcterms:created>
  <dcterms:modified xsi:type="dcterms:W3CDTF">2025-03-25T20:18:37Z</dcterms:modified>
</cp:coreProperties>
</file>