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daddeburgos-my.sharepoint.com/personal/mmm1059_alu_ubu_es/Documents/Escritorio/TFG-Marina-Martin/diagramas/"/>
    </mc:Choice>
  </mc:AlternateContent>
  <xr:revisionPtr revIDLastSave="48" documentId="8_{4FCC31AE-55C1-4CE4-B909-C81D660EA50D}" xr6:coauthVersionLast="47" xr6:coauthVersionMax="47" xr10:uidLastSave="{D7F5CB1F-8875-44B3-848E-196567BE897F}"/>
  <bookViews>
    <workbookView xWindow="-108" yWindow="-108" windowWidth="23256" windowHeight="12456" xr2:uid="{28BE8028-781D-4881-B67A-D6488C875A24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2" l="1"/>
  <c r="F1" i="2"/>
  <c r="G1" i="2" s="1"/>
  <c r="H1" i="2" s="1"/>
  <c r="I1" i="2" s="1"/>
  <c r="J1" i="2" s="1"/>
  <c r="K1" i="2" s="1"/>
  <c r="L1" i="2" s="1"/>
  <c r="D4" i="1"/>
  <c r="D6" i="1"/>
  <c r="E6" i="1" s="1"/>
  <c r="F6" i="1" l="1"/>
  <c r="G6" i="1" s="1"/>
  <c r="H6" i="1" s="1"/>
  <c r="I6" i="1" s="1"/>
  <c r="J6" i="1" s="1"/>
  <c r="K6" i="1" s="1"/>
  <c r="L6" i="1" s="1"/>
</calcChain>
</file>

<file path=xl/sharedStrings.xml><?xml version="1.0" encoding="utf-8"?>
<sst xmlns="http://schemas.openxmlformats.org/spreadsheetml/2006/main" count="21" uniqueCount="12">
  <si>
    <t>1. Revisión bibliográfica inicial</t>
  </si>
  <si>
    <t>2. Investigación y recolección de datos</t>
  </si>
  <si>
    <t>3. Extracción de características y EDA</t>
  </si>
  <si>
    <t>MILESTONES</t>
  </si>
  <si>
    <t xml:space="preserve">INICIO PROYECTO: </t>
  </si>
  <si>
    <t>DURACIÓN:</t>
  </si>
  <si>
    <t>INICIO</t>
  </si>
  <si>
    <t>FIN</t>
  </si>
  <si>
    <t>4. Desarrollo y entrenamiento del modelo</t>
  </si>
  <si>
    <t>5. Implementación de la aplicación</t>
  </si>
  <si>
    <t>6. Redacción de la memoria</t>
  </si>
  <si>
    <t>FIN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</si>
</sst>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;@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1" fillId="2" borderId="2" xfId="0" applyFont="1" applyFill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164" fontId="1" fillId="2" borderId="4" xfId="0" applyNumberFormat="1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0" fillId="0" borderId="10" xfId="0" applyNumberFormat="1" applyBorder="1"/>
    <xf numFmtId="0" fontId="0" fillId="0" borderId="10" xfId="0" applyBorder="1"/>
    <xf numFmtId="0" fontId="0" fillId="0" borderId="1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3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885E2-1D45-46E7-BDDE-F8AF0CEBD29E}">
  <dimension ref="A1:L12"/>
  <sheetViews>
    <sheetView showGridLines="0" tabSelected="1" zoomScaleNormal="100" workbookViewId="0">
      <selection activeCell="C9" sqref="C9"/>
    </sheetView>
  </sheetViews>
  <sheetFormatPr baseColWidth="10" defaultRowHeight="14.4" x14ac:dyDescent="0.3"/>
  <cols>
    <col min="1" max="1" width="34.77734375" customWidth="1"/>
  </cols>
  <sheetData>
    <row r="1" spans="1:12" ht="15" thickBot="1" x14ac:dyDescent="0.35"/>
    <row r="2" spans="1:12" x14ac:dyDescent="0.3">
      <c r="B2" s="33" t="s">
        <v>4</v>
      </c>
      <c r="C2" s="34"/>
      <c r="D2" s="39">
        <v>45566</v>
      </c>
      <c r="E2" s="40"/>
    </row>
    <row r="3" spans="1:12" x14ac:dyDescent="0.3">
      <c r="B3" s="37" t="s">
        <v>11</v>
      </c>
      <c r="C3" s="38"/>
      <c r="D3" s="41">
        <v>45816</v>
      </c>
      <c r="E3" s="42"/>
    </row>
    <row r="4" spans="1:12" ht="15" thickBot="1" x14ac:dyDescent="0.35">
      <c r="B4" s="35" t="s">
        <v>5</v>
      </c>
      <c r="C4" s="36"/>
      <c r="D4" s="43">
        <f>D3-D2</f>
        <v>250</v>
      </c>
      <c r="E4" s="44"/>
    </row>
    <row r="5" spans="1:12" ht="15" thickBot="1" x14ac:dyDescent="0.35"/>
    <row r="6" spans="1:12" x14ac:dyDescent="0.3">
      <c r="A6" s="4" t="s">
        <v>3</v>
      </c>
      <c r="B6" s="5" t="s">
        <v>6</v>
      </c>
      <c r="C6" s="5" t="s">
        <v>7</v>
      </c>
      <c r="D6" s="6">
        <f>D2</f>
        <v>45566</v>
      </c>
      <c r="E6" s="6">
        <f>D6+31</f>
        <v>45597</v>
      </c>
      <c r="F6" s="6">
        <f>E6+30</f>
        <v>45627</v>
      </c>
      <c r="G6" s="6">
        <f>F6+31</f>
        <v>45658</v>
      </c>
      <c r="H6" s="6">
        <f>G6+31</f>
        <v>45689</v>
      </c>
      <c r="I6" s="6">
        <f>H6+28</f>
        <v>45717</v>
      </c>
      <c r="J6" s="6">
        <f>I6+31</f>
        <v>45748</v>
      </c>
      <c r="K6" s="6">
        <f>J6+30</f>
        <v>45778</v>
      </c>
      <c r="L6" s="7">
        <f>K6+31</f>
        <v>45809</v>
      </c>
    </row>
    <row r="7" spans="1:12" x14ac:dyDescent="0.3">
      <c r="A7" s="8" t="s">
        <v>0</v>
      </c>
      <c r="B7" s="2">
        <v>45566</v>
      </c>
      <c r="C7" s="2">
        <v>45613</v>
      </c>
      <c r="D7" s="3"/>
      <c r="E7" s="3"/>
      <c r="F7" s="3"/>
      <c r="G7" s="3"/>
      <c r="H7" s="3"/>
      <c r="I7" s="3"/>
      <c r="J7" s="3"/>
      <c r="K7" s="3"/>
      <c r="L7" s="9"/>
    </row>
    <row r="8" spans="1:12" x14ac:dyDescent="0.3">
      <c r="A8" s="10" t="s">
        <v>1</v>
      </c>
      <c r="B8" s="1">
        <v>45597</v>
      </c>
      <c r="C8" s="1">
        <v>45703</v>
      </c>
      <c r="L8" s="11"/>
    </row>
    <row r="9" spans="1:12" x14ac:dyDescent="0.3">
      <c r="A9" s="10" t="s">
        <v>2</v>
      </c>
      <c r="B9" s="1">
        <v>45667</v>
      </c>
      <c r="C9" s="1">
        <v>45762</v>
      </c>
      <c r="L9" s="11"/>
    </row>
    <row r="10" spans="1:12" x14ac:dyDescent="0.3">
      <c r="A10" s="10" t="s">
        <v>8</v>
      </c>
      <c r="B10" s="1">
        <v>45731</v>
      </c>
      <c r="C10" s="1">
        <v>45767</v>
      </c>
      <c r="L10" s="11"/>
    </row>
    <row r="11" spans="1:12" x14ac:dyDescent="0.3">
      <c r="A11" s="10" t="s">
        <v>9</v>
      </c>
      <c r="B11" s="1">
        <v>45768</v>
      </c>
      <c r="C11" s="1">
        <v>45807</v>
      </c>
      <c r="L11" s="11"/>
    </row>
    <row r="12" spans="1:12" ht="15" thickBot="1" x14ac:dyDescent="0.35">
      <c r="A12" s="12" t="s">
        <v>10</v>
      </c>
      <c r="B12" s="13">
        <v>45748</v>
      </c>
      <c r="C12" s="13">
        <v>45816</v>
      </c>
      <c r="D12" s="14"/>
      <c r="E12" s="14"/>
      <c r="F12" s="14"/>
      <c r="G12" s="14"/>
      <c r="H12" s="14"/>
      <c r="I12" s="14"/>
      <c r="J12" s="14"/>
      <c r="K12" s="14"/>
      <c r="L12" s="15"/>
    </row>
  </sheetData>
  <mergeCells count="6">
    <mergeCell ref="B2:C2"/>
    <mergeCell ref="B4:C4"/>
    <mergeCell ref="B3:C3"/>
    <mergeCell ref="D2:E2"/>
    <mergeCell ref="D3:E3"/>
    <mergeCell ref="D4:E4"/>
  </mergeCells>
  <conditionalFormatting sqref="D7:L12">
    <cfRule type="expression" priority="1">
      <formula>AND(D$6&gt;=$B7,D$6&lt;=$C7)</formula>
    </cfRule>
    <cfRule type="expression" dxfId="7" priority="2">
      <formula>AND(D$6&gt;=$B7,D$6&lt;=$C7)</formula>
    </cfRule>
    <cfRule type="expression" priority="3">
      <formula>AND(D$6&gt;=$B6,D$6&lt;=$C6)</formula>
    </cfRule>
    <cfRule type="expression" dxfId="6" priority="4">
      <formula>AND(D$6&gt;=$B6,D$6&lt;=$C6)</formula>
    </cfRule>
    <cfRule type="expression" dxfId="5" priority="6">
      <formula>"'=AND(D$6&gt;=B$7,D$6&lt;=C$7)"</formula>
    </cfRule>
    <cfRule type="expression" dxfId="4" priority="10">
      <formula>"(D$6&gt;=B$7,D$6&lt;=C$7)"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6FCC1-AC4F-4D5C-BEF5-58DC46F58FAE}">
  <dimension ref="A1:L7"/>
  <sheetViews>
    <sheetView showGridLines="0" zoomScaleNormal="100" workbookViewId="0">
      <selection activeCell="H16" sqref="H16"/>
    </sheetView>
  </sheetViews>
  <sheetFormatPr baseColWidth="10" defaultRowHeight="14.4" x14ac:dyDescent="0.3"/>
  <cols>
    <col min="1" max="1" width="34.77734375" customWidth="1"/>
    <col min="2" max="3" width="12.77734375" customWidth="1"/>
    <col min="4" max="12" width="10.77734375" customWidth="1"/>
  </cols>
  <sheetData>
    <row r="1" spans="1:12" x14ac:dyDescent="0.3">
      <c r="A1" s="16" t="s">
        <v>3</v>
      </c>
      <c r="B1" s="17" t="s">
        <v>6</v>
      </c>
      <c r="C1" s="17" t="s">
        <v>7</v>
      </c>
      <c r="D1" s="21">
        <v>45931</v>
      </c>
      <c r="E1" s="21">
        <f>D1+31</f>
        <v>45962</v>
      </c>
      <c r="F1" s="21">
        <f>E1+30</f>
        <v>45992</v>
      </c>
      <c r="G1" s="21">
        <f>F1+31</f>
        <v>46023</v>
      </c>
      <c r="H1" s="21">
        <f>G1+31</f>
        <v>46054</v>
      </c>
      <c r="I1" s="21">
        <f>H1+28</f>
        <v>46082</v>
      </c>
      <c r="J1" s="21">
        <f>I1+31</f>
        <v>46113</v>
      </c>
      <c r="K1" s="21">
        <f>J1+30</f>
        <v>46143</v>
      </c>
      <c r="L1" s="22">
        <f>K1+31</f>
        <v>46174</v>
      </c>
    </row>
    <row r="2" spans="1:12" x14ac:dyDescent="0.3">
      <c r="A2" s="23" t="s">
        <v>0</v>
      </c>
      <c r="B2" s="2">
        <v>45566</v>
      </c>
      <c r="C2" s="2">
        <v>45613</v>
      </c>
      <c r="D2" s="24"/>
      <c r="E2" s="24"/>
      <c r="F2" s="25"/>
      <c r="G2" s="25"/>
      <c r="H2" s="25"/>
      <c r="I2" s="25"/>
      <c r="J2" s="25"/>
      <c r="K2" s="25"/>
      <c r="L2" s="26"/>
    </row>
    <row r="3" spans="1:12" x14ac:dyDescent="0.3">
      <c r="A3" s="27" t="s">
        <v>1</v>
      </c>
      <c r="B3" s="1">
        <v>45597</v>
      </c>
      <c r="C3" s="1">
        <v>45703</v>
      </c>
      <c r="D3" s="28"/>
      <c r="E3" s="29"/>
      <c r="F3" s="29"/>
      <c r="G3" s="29"/>
      <c r="H3" s="29"/>
      <c r="I3" s="28"/>
      <c r="J3" s="28"/>
      <c r="K3" s="28"/>
      <c r="L3" s="18"/>
    </row>
    <row r="4" spans="1:12" x14ac:dyDescent="0.3">
      <c r="A4" s="27" t="s">
        <v>2</v>
      </c>
      <c r="B4" s="1">
        <v>45667</v>
      </c>
      <c r="C4" s="1">
        <v>45769</v>
      </c>
      <c r="D4" s="28"/>
      <c r="E4" s="28"/>
      <c r="F4" s="28"/>
      <c r="G4" s="29"/>
      <c r="H4" s="29"/>
      <c r="I4" s="29"/>
      <c r="J4" s="29"/>
      <c r="K4" s="28"/>
      <c r="L4" s="18"/>
    </row>
    <row r="5" spans="1:12" x14ac:dyDescent="0.3">
      <c r="A5" s="27" t="s">
        <v>8</v>
      </c>
      <c r="B5" s="1">
        <v>45731</v>
      </c>
      <c r="C5" s="1">
        <v>45777</v>
      </c>
      <c r="D5" s="28"/>
      <c r="E5" s="28"/>
      <c r="F5" s="28"/>
      <c r="G5" s="28"/>
      <c r="H5" s="28"/>
      <c r="I5" s="29"/>
      <c r="J5" s="29"/>
      <c r="K5" s="28"/>
      <c r="L5" s="18"/>
    </row>
    <row r="6" spans="1:12" x14ac:dyDescent="0.3">
      <c r="A6" s="27" t="s">
        <v>9</v>
      </c>
      <c r="B6" s="1">
        <v>45768</v>
      </c>
      <c r="C6" s="1">
        <v>45807</v>
      </c>
      <c r="D6" s="28"/>
      <c r="E6" s="28"/>
      <c r="F6" s="28"/>
      <c r="G6" s="28"/>
      <c r="H6" s="28"/>
      <c r="I6" s="28"/>
      <c r="J6" s="29"/>
      <c r="K6" s="29"/>
      <c r="L6" s="18"/>
    </row>
    <row r="7" spans="1:12" ht="15" thickBot="1" x14ac:dyDescent="0.35">
      <c r="A7" s="30" t="s">
        <v>10</v>
      </c>
      <c r="B7" s="20">
        <v>45748</v>
      </c>
      <c r="C7" s="20">
        <v>45816</v>
      </c>
      <c r="D7" s="19"/>
      <c r="E7" s="19"/>
      <c r="F7" s="19"/>
      <c r="G7" s="19"/>
      <c r="H7" s="19"/>
      <c r="I7" s="19"/>
      <c r="J7" s="31"/>
      <c r="K7" s="31"/>
      <c r="L7" s="32"/>
    </row>
  </sheetData>
  <conditionalFormatting sqref="D2:L7">
    <cfRule type="expression" priority="1">
      <formula>AND(D$6&gt;=$B2,D$6&lt;=$C2)</formula>
    </cfRule>
    <cfRule type="expression" dxfId="3" priority="2">
      <formula>AND(D$6&gt;=$B2,D$6&lt;=$C2)</formula>
    </cfRule>
    <cfRule type="expression" priority="3">
      <formula>AND(D$6&gt;=$B1,D$6&lt;=$C1)</formula>
    </cfRule>
    <cfRule type="expression" dxfId="2" priority="4">
      <formula>AND(D$6&gt;=$B1,D$6&lt;=$C1)</formula>
    </cfRule>
    <cfRule type="expression" dxfId="1" priority="5">
      <formula>"'=AND(D$6&gt;=B$7,D$6&lt;=C$7)"</formula>
    </cfRule>
    <cfRule type="expression" dxfId="0" priority="6">
      <formula>"(D$6&gt;=B$7,D$6&lt;=C$7)"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Martín Marijuán</dc:creator>
  <cp:lastModifiedBy>Marina Martín Marijuán</cp:lastModifiedBy>
  <dcterms:created xsi:type="dcterms:W3CDTF">2025-04-21T11:06:48Z</dcterms:created>
  <dcterms:modified xsi:type="dcterms:W3CDTF">2025-04-24T15:05:27Z</dcterms:modified>
</cp:coreProperties>
</file>