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deburgos-my.sharepoint.com/personal/mmm1059_alu_ubu_es/Documents/Escritorio/TFG-Marina-Martin/diagramas/"/>
    </mc:Choice>
  </mc:AlternateContent>
  <xr:revisionPtr revIDLastSave="61" documentId="8_{4FCC31AE-55C1-4CE4-B909-C81D660EA50D}" xr6:coauthVersionLast="47" xr6:coauthVersionMax="47" xr10:uidLastSave="{90289FE6-AA92-4D30-B006-FE78373B6E24}"/>
  <bookViews>
    <workbookView xWindow="-108" yWindow="-108" windowWidth="23256" windowHeight="12456" xr2:uid="{28BE8028-781D-4881-B67A-D6488C875A2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2" l="1"/>
  <c r="F1" i="2"/>
  <c r="G1" i="2" s="1"/>
  <c r="H1" i="2" s="1"/>
  <c r="I1" i="2" s="1"/>
  <c r="J1" i="2" s="1"/>
  <c r="K1" i="2" s="1"/>
  <c r="L1" i="2" s="1"/>
  <c r="D4" i="1"/>
  <c r="D6" i="1"/>
  <c r="E6" i="1" s="1"/>
  <c r="F6" i="1" l="1"/>
  <c r="G6" i="1" s="1"/>
  <c r="H6" i="1" s="1"/>
  <c r="I6" i="1" s="1"/>
  <c r="J6" i="1" s="1"/>
  <c r="K6" i="1" s="1"/>
  <c r="L6" i="1" s="1"/>
</calcChain>
</file>

<file path=xl/sharedStrings.xml><?xml version="1.0" encoding="utf-8"?>
<sst xmlns="http://schemas.openxmlformats.org/spreadsheetml/2006/main" count="22" uniqueCount="13">
  <si>
    <t>1. Revisión bibliográfica inicial</t>
  </si>
  <si>
    <t>2. Investigación y recolección de datos</t>
  </si>
  <si>
    <t>3. Extracción de características y EDA</t>
  </si>
  <si>
    <t>MILESTONES</t>
  </si>
  <si>
    <t xml:space="preserve">INICIO PROYECTO: </t>
  </si>
  <si>
    <t>DURACIÓN:</t>
  </si>
  <si>
    <t>INICIO</t>
  </si>
  <si>
    <t>FIN</t>
  </si>
  <si>
    <t>4. Desarrollo y entrenamiento del modelo</t>
  </si>
  <si>
    <t>5. Implementación de la aplicación</t>
  </si>
  <si>
    <t>6. Redacción de la memoria</t>
  </si>
  <si>
    <t>FIN PROYECTO</t>
  </si>
  <si>
    <t>7. Redacción de los anexos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</si>
</sst>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;@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9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</cellXfs>
  <cellStyles count="1">
    <cellStyle name="Normal" xfId="0" builtinId="0"/>
  </cellStyles>
  <dxfs count="8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85E2-1D45-46E7-BDDE-F8AF0CEBD29E}">
  <dimension ref="A1:L13"/>
  <sheetViews>
    <sheetView showGridLines="0" tabSelected="1" zoomScaleNormal="100" workbookViewId="0">
      <selection activeCell="D4" sqref="D4:E4"/>
    </sheetView>
  </sheetViews>
  <sheetFormatPr baseColWidth="10" defaultRowHeight="14.4" x14ac:dyDescent="0.3"/>
  <cols>
    <col min="1" max="1" width="34.77734375" customWidth="1"/>
  </cols>
  <sheetData>
    <row r="1" spans="1:12" ht="15" thickBot="1" x14ac:dyDescent="0.35"/>
    <row r="2" spans="1:12" x14ac:dyDescent="0.3">
      <c r="B2" s="21" t="s">
        <v>4</v>
      </c>
      <c r="C2" s="22"/>
      <c r="D2" s="27">
        <v>45566</v>
      </c>
      <c r="E2" s="28"/>
    </row>
    <row r="3" spans="1:12" x14ac:dyDescent="0.3">
      <c r="B3" s="25" t="s">
        <v>11</v>
      </c>
      <c r="C3" s="26"/>
      <c r="D3" s="29">
        <v>45816</v>
      </c>
      <c r="E3" s="30"/>
    </row>
    <row r="4" spans="1:12" ht="15" thickBot="1" x14ac:dyDescent="0.35">
      <c r="B4" s="23" t="s">
        <v>5</v>
      </c>
      <c r="C4" s="24"/>
      <c r="D4" s="31">
        <f>D3-D2</f>
        <v>250</v>
      </c>
      <c r="E4" s="32"/>
    </row>
    <row r="5" spans="1:12" ht="15" thickBot="1" x14ac:dyDescent="0.35"/>
    <row r="6" spans="1:12" x14ac:dyDescent="0.3">
      <c r="A6" s="3" t="s">
        <v>3</v>
      </c>
      <c r="B6" s="4" t="s">
        <v>6</v>
      </c>
      <c r="C6" s="4" t="s">
        <v>7</v>
      </c>
      <c r="D6" s="8">
        <f>D2</f>
        <v>45566</v>
      </c>
      <c r="E6" s="8">
        <f>D6+31</f>
        <v>45597</v>
      </c>
      <c r="F6" s="8">
        <f>E6+30</f>
        <v>45627</v>
      </c>
      <c r="G6" s="8">
        <f>F6+31</f>
        <v>45658</v>
      </c>
      <c r="H6" s="8">
        <f>G6+31</f>
        <v>45689</v>
      </c>
      <c r="I6" s="8">
        <f>H6+28</f>
        <v>45717</v>
      </c>
      <c r="J6" s="8">
        <f>I6+31</f>
        <v>45748</v>
      </c>
      <c r="K6" s="8">
        <f>J6+30</f>
        <v>45778</v>
      </c>
      <c r="L6" s="9">
        <f>K6+31</f>
        <v>45809</v>
      </c>
    </row>
    <row r="7" spans="1:12" x14ac:dyDescent="0.3">
      <c r="A7" s="14" t="s">
        <v>0</v>
      </c>
      <c r="B7" s="33">
        <v>45566</v>
      </c>
      <c r="C7" s="33">
        <v>45613</v>
      </c>
      <c r="D7" s="34"/>
      <c r="E7" s="34"/>
      <c r="F7" s="34"/>
      <c r="G7" s="34"/>
      <c r="H7" s="34"/>
      <c r="I7" s="34"/>
      <c r="J7" s="34"/>
      <c r="K7" s="34"/>
      <c r="L7" s="5"/>
    </row>
    <row r="8" spans="1:12" x14ac:dyDescent="0.3">
      <c r="A8" s="14" t="s">
        <v>1</v>
      </c>
      <c r="B8" s="33">
        <v>45597</v>
      </c>
      <c r="C8" s="33">
        <v>45703</v>
      </c>
      <c r="D8" s="34"/>
      <c r="E8" s="34"/>
      <c r="F8" s="34"/>
      <c r="G8" s="34"/>
      <c r="H8" s="34"/>
      <c r="I8" s="34"/>
      <c r="J8" s="34"/>
      <c r="K8" s="34"/>
      <c r="L8" s="5"/>
    </row>
    <row r="9" spans="1:12" x14ac:dyDescent="0.3">
      <c r="A9" s="14" t="s">
        <v>2</v>
      </c>
      <c r="B9" s="33">
        <v>45667</v>
      </c>
      <c r="C9" s="33">
        <v>45762</v>
      </c>
      <c r="D9" s="34"/>
      <c r="E9" s="34"/>
      <c r="F9" s="34"/>
      <c r="G9" s="34"/>
      <c r="H9" s="34"/>
      <c r="I9" s="34"/>
      <c r="J9" s="34"/>
      <c r="K9" s="34"/>
      <c r="L9" s="5"/>
    </row>
    <row r="10" spans="1:12" x14ac:dyDescent="0.3">
      <c r="A10" s="14" t="s">
        <v>8</v>
      </c>
      <c r="B10" s="33">
        <v>45731</v>
      </c>
      <c r="C10" s="33">
        <v>45767</v>
      </c>
      <c r="D10" s="34"/>
      <c r="E10" s="34"/>
      <c r="F10" s="34"/>
      <c r="G10" s="34"/>
      <c r="H10" s="34"/>
      <c r="I10" s="34"/>
      <c r="J10" s="34"/>
      <c r="K10" s="34"/>
      <c r="L10" s="5"/>
    </row>
    <row r="11" spans="1:12" x14ac:dyDescent="0.3">
      <c r="A11" s="14" t="s">
        <v>9</v>
      </c>
      <c r="B11" s="33">
        <v>45768</v>
      </c>
      <c r="C11" s="33">
        <v>45807</v>
      </c>
      <c r="D11" s="34"/>
      <c r="E11" s="34"/>
      <c r="F11" s="34"/>
      <c r="G11" s="34"/>
      <c r="H11" s="34"/>
      <c r="I11" s="34"/>
      <c r="J11" s="34"/>
      <c r="K11" s="34"/>
      <c r="L11" s="5"/>
    </row>
    <row r="12" spans="1:12" x14ac:dyDescent="0.3">
      <c r="A12" s="14" t="s">
        <v>10</v>
      </c>
      <c r="B12" s="35">
        <v>45748</v>
      </c>
      <c r="C12" s="35">
        <v>45816</v>
      </c>
      <c r="D12" s="34"/>
      <c r="E12" s="34"/>
      <c r="F12" s="34"/>
      <c r="G12" s="34"/>
      <c r="H12" s="34"/>
      <c r="I12" s="34"/>
      <c r="J12" s="34"/>
      <c r="K12" s="34"/>
      <c r="L12" s="5"/>
    </row>
    <row r="13" spans="1:12" ht="15" thickBot="1" x14ac:dyDescent="0.35">
      <c r="A13" s="36" t="s">
        <v>12</v>
      </c>
      <c r="B13" s="7">
        <v>45782</v>
      </c>
      <c r="C13" s="7">
        <v>45816</v>
      </c>
      <c r="D13" s="6"/>
      <c r="E13" s="6"/>
      <c r="F13" s="6"/>
      <c r="G13" s="6"/>
      <c r="H13" s="6"/>
      <c r="I13" s="6"/>
      <c r="J13" s="6"/>
      <c r="K13" s="6"/>
      <c r="L13" s="20"/>
    </row>
  </sheetData>
  <mergeCells count="6">
    <mergeCell ref="B2:C2"/>
    <mergeCell ref="B4:C4"/>
    <mergeCell ref="B3:C3"/>
    <mergeCell ref="D2:E2"/>
    <mergeCell ref="D3:E3"/>
    <mergeCell ref="D4:E4"/>
  </mergeCells>
  <conditionalFormatting sqref="D7:L12 K13:L13">
    <cfRule type="expression" priority="1">
      <formula>AND(D$6&gt;=$B7,D$6&lt;=$C7)</formula>
    </cfRule>
    <cfRule type="expression" dxfId="7" priority="2">
      <formula>AND(D$6&gt;=$B7,D$6&lt;=$C7)</formula>
    </cfRule>
    <cfRule type="expression" priority="3">
      <formula>AND(D$6&gt;=$B6,D$6&lt;=$C6)</formula>
    </cfRule>
    <cfRule type="expression" dxfId="6" priority="4">
      <formula>AND(D$6&gt;=$B6,D$6&lt;=$C6)</formula>
    </cfRule>
    <cfRule type="expression" dxfId="5" priority="6">
      <formula>"'=AND(D$6&gt;=B$7,D$6&lt;=C$7)"</formula>
    </cfRule>
    <cfRule type="expression" dxfId="4" priority="10">
      <formula>"(D$6&gt;=B$7,D$6&lt;=C$7)"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6FCC1-AC4F-4D5C-BEF5-58DC46F58FAE}">
  <dimension ref="A1:L7"/>
  <sheetViews>
    <sheetView showGridLines="0" zoomScaleNormal="100" workbookViewId="0">
      <selection activeCell="M16" sqref="M16"/>
    </sheetView>
  </sheetViews>
  <sheetFormatPr baseColWidth="10" defaultRowHeight="14.4" x14ac:dyDescent="0.3"/>
  <cols>
    <col min="1" max="1" width="34.77734375" customWidth="1"/>
    <col min="2" max="3" width="12.77734375" customWidth="1"/>
    <col min="4" max="12" width="10.77734375" customWidth="1"/>
  </cols>
  <sheetData>
    <row r="1" spans="1:12" x14ac:dyDescent="0.3">
      <c r="A1" s="3" t="s">
        <v>3</v>
      </c>
      <c r="B1" s="4" t="s">
        <v>6</v>
      </c>
      <c r="C1" s="4" t="s">
        <v>7</v>
      </c>
      <c r="D1" s="8">
        <v>45931</v>
      </c>
      <c r="E1" s="8">
        <f>D1+31</f>
        <v>45962</v>
      </c>
      <c r="F1" s="8">
        <f>E1+30</f>
        <v>45992</v>
      </c>
      <c r="G1" s="8">
        <f>F1+31</f>
        <v>46023</v>
      </c>
      <c r="H1" s="8">
        <f>G1+31</f>
        <v>46054</v>
      </c>
      <c r="I1" s="8">
        <f>H1+28</f>
        <v>46082</v>
      </c>
      <c r="J1" s="8">
        <f>I1+31</f>
        <v>46113</v>
      </c>
      <c r="K1" s="8">
        <f>J1+30</f>
        <v>46143</v>
      </c>
      <c r="L1" s="9">
        <f>K1+31</f>
        <v>46174</v>
      </c>
    </row>
    <row r="2" spans="1:12" x14ac:dyDescent="0.3">
      <c r="A2" s="10" t="s">
        <v>0</v>
      </c>
      <c r="B2" s="2">
        <v>45566</v>
      </c>
      <c r="C2" s="2">
        <v>45613</v>
      </c>
      <c r="D2" s="11"/>
      <c r="E2" s="11"/>
      <c r="F2" s="12"/>
      <c r="G2" s="12"/>
      <c r="H2" s="12"/>
      <c r="I2" s="12"/>
      <c r="J2" s="12"/>
      <c r="K2" s="12"/>
      <c r="L2" s="13"/>
    </row>
    <row r="3" spans="1:12" x14ac:dyDescent="0.3">
      <c r="A3" s="14" t="s">
        <v>1</v>
      </c>
      <c r="B3" s="1">
        <v>45597</v>
      </c>
      <c r="C3" s="1">
        <v>45703</v>
      </c>
      <c r="D3" s="15"/>
      <c r="E3" s="16"/>
      <c r="F3" s="16"/>
      <c r="G3" s="16"/>
      <c r="H3" s="16"/>
      <c r="I3" s="15"/>
      <c r="J3" s="15"/>
      <c r="K3" s="15"/>
      <c r="L3" s="5"/>
    </row>
    <row r="4" spans="1:12" x14ac:dyDescent="0.3">
      <c r="A4" s="14" t="s">
        <v>2</v>
      </c>
      <c r="B4" s="1">
        <v>45667</v>
      </c>
      <c r="C4" s="1">
        <v>45769</v>
      </c>
      <c r="D4" s="15"/>
      <c r="E4" s="15"/>
      <c r="F4" s="15"/>
      <c r="G4" s="16"/>
      <c r="H4" s="16"/>
      <c r="I4" s="16"/>
      <c r="J4" s="16"/>
      <c r="K4" s="15"/>
      <c r="L4" s="5"/>
    </row>
    <row r="5" spans="1:12" x14ac:dyDescent="0.3">
      <c r="A5" s="14" t="s">
        <v>8</v>
      </c>
      <c r="B5" s="1">
        <v>45731</v>
      </c>
      <c r="C5" s="1">
        <v>45777</v>
      </c>
      <c r="D5" s="15"/>
      <c r="E5" s="15"/>
      <c r="F5" s="15"/>
      <c r="G5" s="15"/>
      <c r="H5" s="15"/>
      <c r="I5" s="16"/>
      <c r="J5" s="16"/>
      <c r="K5" s="15"/>
      <c r="L5" s="5"/>
    </row>
    <row r="6" spans="1:12" x14ac:dyDescent="0.3">
      <c r="A6" s="14" t="s">
        <v>9</v>
      </c>
      <c r="B6" s="1">
        <v>45768</v>
      </c>
      <c r="C6" s="1">
        <v>45807</v>
      </c>
      <c r="D6" s="15"/>
      <c r="E6" s="15"/>
      <c r="F6" s="15"/>
      <c r="G6" s="15"/>
      <c r="H6" s="15"/>
      <c r="I6" s="15"/>
      <c r="J6" s="16"/>
      <c r="K6" s="16"/>
      <c r="L6" s="5"/>
    </row>
    <row r="7" spans="1:12" ht="15" thickBot="1" x14ac:dyDescent="0.35">
      <c r="A7" s="17" t="s">
        <v>10</v>
      </c>
      <c r="B7" s="7">
        <v>45748</v>
      </c>
      <c r="C7" s="7">
        <v>45816</v>
      </c>
      <c r="D7" s="6"/>
      <c r="E7" s="6"/>
      <c r="F7" s="6"/>
      <c r="G7" s="6"/>
      <c r="H7" s="6"/>
      <c r="I7" s="6"/>
      <c r="J7" s="18"/>
      <c r="K7" s="18"/>
      <c r="L7" s="19"/>
    </row>
  </sheetData>
  <conditionalFormatting sqref="D2:L7">
    <cfRule type="expression" priority="1">
      <formula>AND(D$6&gt;=$B2,D$6&lt;=$C2)</formula>
    </cfRule>
    <cfRule type="expression" dxfId="3" priority="2">
      <formula>AND(D$6&gt;=$B2,D$6&lt;=$C2)</formula>
    </cfRule>
    <cfRule type="expression" priority="3">
      <formula>AND(D$6&gt;=$B1,D$6&lt;=$C1)</formula>
    </cfRule>
    <cfRule type="expression" dxfId="2" priority="4">
      <formula>AND(D$6&gt;=$B1,D$6&lt;=$C1)</formula>
    </cfRule>
    <cfRule type="expression" dxfId="1" priority="5">
      <formula>"'=AND(D$6&gt;=B$7,D$6&lt;=C$7)"</formula>
    </cfRule>
    <cfRule type="expression" dxfId="0" priority="6">
      <formula>"(D$6&gt;=B$7,D$6&lt;=C$7)"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Martín Marijuán</dc:creator>
  <cp:lastModifiedBy>Marina Martín Marijuán</cp:lastModifiedBy>
  <dcterms:created xsi:type="dcterms:W3CDTF">2025-04-21T11:06:48Z</dcterms:created>
  <dcterms:modified xsi:type="dcterms:W3CDTF">2025-05-26T10:57:40Z</dcterms:modified>
</cp:coreProperties>
</file>